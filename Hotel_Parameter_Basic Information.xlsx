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tsae\Desktop\Ministry_of_Tourism_pro\"/>
    </mc:Choice>
  </mc:AlternateContent>
  <bookViews>
    <workbookView xWindow="510" yWindow="510" windowWidth="15990" windowHeight="7350" activeTab="1"/>
  </bookViews>
  <sheets>
    <sheet name="Parameter" sheetId="1" r:id="rId1"/>
    <sheet name="Sheet1" sheetId="2" r:id="rId2"/>
  </sheets>
  <calcPr calcId="152511"/>
</workbook>
</file>

<file path=xl/calcChain.xml><?xml version="1.0" encoding="utf-8"?>
<calcChain xmlns="http://schemas.openxmlformats.org/spreadsheetml/2006/main">
  <c r="A5" i="2" l="1"/>
  <c r="A18" i="2"/>
  <c r="A26" i="2"/>
  <c r="A40" i="2"/>
  <c r="A47" i="2"/>
  <c r="A58" i="2"/>
  <c r="A64" i="2"/>
  <c r="A74" i="2"/>
  <c r="A81" i="2"/>
  <c r="A87" i="2"/>
  <c r="A94" i="2"/>
  <c r="A100" i="2"/>
</calcChain>
</file>

<file path=xl/sharedStrings.xml><?xml version="1.0" encoding="utf-8"?>
<sst xmlns="http://schemas.openxmlformats.org/spreadsheetml/2006/main" count="183" uniqueCount="182">
  <si>
    <t>Section</t>
  </si>
  <si>
    <t>Field</t>
  </si>
  <si>
    <t>Value</t>
  </si>
  <si>
    <t>Property Profile</t>
  </si>
  <si>
    <t>Address</t>
  </si>
  <si>
    <t>Total Rooms</t>
  </si>
  <si>
    <t>Reservations Contact</t>
  </si>
  <si>
    <t>Sustainability Focal Point</t>
  </si>
  <si>
    <t>Room Inventory</t>
  </si>
  <si>
    <t>Food &amp; Beverage / Retail</t>
  </si>
  <si>
    <t>All-day Dining (Yes/No)</t>
  </si>
  <si>
    <t>All-day Dining Seats</t>
  </si>
  <si>
    <t>Specialty Restaurants (list)</t>
  </si>
  <si>
    <t>Coffee Shop (Yes/No)</t>
  </si>
  <si>
    <t>Bars (number)</t>
  </si>
  <si>
    <t>Night Club (Yes/No)</t>
  </si>
  <si>
    <t>Souvenir Shops (number)</t>
  </si>
  <si>
    <t>Delegation Catering Available (Yes/No)</t>
  </si>
  <si>
    <t>Delegation Catering Max Pax</t>
  </si>
  <si>
    <t>Refill Water Stations (Yes/No)</t>
  </si>
  <si>
    <t>Veg/Vegan Menu Options (Yes/No)</t>
  </si>
  <si>
    <t>No Single-use Plastics (Yes/No)</t>
  </si>
  <si>
    <t>Meetings &amp; Events</t>
  </si>
  <si>
    <t>Meeting Rooms (number)</t>
  </si>
  <si>
    <t>Largest Room Capacity - Theatre</t>
  </si>
  <si>
    <t>Largest Room Capacity - Classroom</t>
  </si>
  <si>
    <t>Largest Room Capacity - Banquet</t>
  </si>
  <si>
    <t>Total Meeting Space (sqm)</t>
  </si>
  <si>
    <t>Internet Bandwidth Down (Mbps)</t>
  </si>
  <si>
    <t>Internet Bandwidth Up (Mbps)</t>
  </si>
  <si>
    <t>Public Facilities</t>
  </si>
  <si>
    <t>Lobby Area (sqm)</t>
  </si>
  <si>
    <t>Green Area/Garden (sqm)</t>
  </si>
  <si>
    <t>Pool Available (Yes/No)</t>
  </si>
  <si>
    <t>Pool Type (Indoor/Outdoor)</t>
  </si>
  <si>
    <t>Spa Available (Yes/No)</t>
  </si>
  <si>
    <t>Spa Men/Women/Both</t>
  </si>
  <si>
    <t>Massage Service (Yes/No)</t>
  </si>
  <si>
    <t>Children's Playground (Yes/No)</t>
  </si>
  <si>
    <t>Children Day-care (Yes/No)</t>
  </si>
  <si>
    <t>Staff Canteen (Yes/No)</t>
  </si>
  <si>
    <t>Accessibility</t>
  </si>
  <si>
    <t>Wheelchair Ramps (Yes/No)</t>
  </si>
  <si>
    <t>Elevators (number)</t>
  </si>
  <si>
    <t>Elevators Wheelchair-sized (Yes/No)</t>
  </si>
  <si>
    <t>Public Accessible Bathroom (Yes/No)</t>
  </si>
  <si>
    <t>Security &amp; Safety</t>
  </si>
  <si>
    <t>CCTV in Public Areas (Yes/No)</t>
  </si>
  <si>
    <t>Fire Extinguishers - Last Inspection (YYYY-MM-DD)</t>
  </si>
  <si>
    <t>Hose Reels (Yes/No)</t>
  </si>
  <si>
    <t>Smoke Detectors in Rooms (Yes/No)</t>
  </si>
  <si>
    <t>Smoke Detectors in Public Areas (Yes/No)</t>
  </si>
  <si>
    <t>Sprinkler Coverage (Rooms/Public/None)</t>
  </si>
  <si>
    <t>Fire Alarm Control Panel (Yes/No)</t>
  </si>
  <si>
    <t>Emergency Exits (number)</t>
  </si>
  <si>
    <t>Bag Scanner (Yes/No)</t>
  </si>
  <si>
    <t>Walk-through Scanner (Yes/No)</t>
  </si>
  <si>
    <t>Hand Scanner (Yes/No)</t>
  </si>
  <si>
    <t>Passport Scanner (Yes/No)</t>
  </si>
  <si>
    <t>Currency Scanner/Detector (Yes/No)</t>
  </si>
  <si>
    <t>Transport &amp; Parking</t>
  </si>
  <si>
    <t>Parking Spaces (number)</t>
  </si>
  <si>
    <t>Bus Parking (Yes/No)</t>
  </si>
  <si>
    <t>Shuttle to COP Venue (Yes/No)</t>
  </si>
  <si>
    <t>Shuttle to Airport (Yes/No)</t>
  </si>
  <si>
    <t>Public Transport within 500m (Yes/No)</t>
  </si>
  <si>
    <t>EV Charging Points (number)</t>
  </si>
  <si>
    <t>EV Charger Types (list)</t>
  </si>
  <si>
    <t>ICT &amp; Guest Services</t>
  </si>
  <si>
    <t>Wi-Fi Property-wide (Yes/No)</t>
  </si>
  <si>
    <t>Wi-Fi Avg Speed (Mbps)</t>
  </si>
  <si>
    <t>In-house Laundry (Yes/No)</t>
  </si>
  <si>
    <t>24-hour Reception (Yes/No)</t>
  </si>
  <si>
    <t>VIP Check-in (Yes/No)</t>
  </si>
  <si>
    <t>Utilities &amp; Resilience</t>
  </si>
  <si>
    <t>Standby Generator Capacity (kVA)</t>
  </si>
  <si>
    <t>Standby Generator Coverage (Full/Partial)</t>
  </si>
  <si>
    <t>Water Treatment (None/Basic/Advanced)</t>
  </si>
  <si>
    <t>Waste Segregation (Yes/No)</t>
  </si>
  <si>
    <t>Recycling (Yes/No)</t>
  </si>
  <si>
    <t>Hazardous Waste Handling (Yes/No)</t>
  </si>
  <si>
    <t>Sustainability &amp; Certifications</t>
  </si>
  <si>
    <t>Other Eco-labels (list)</t>
  </si>
  <si>
    <t>Food Waste Program (Yes/No)</t>
  </si>
  <si>
    <t>Staffing &amp; Languages</t>
  </si>
  <si>
    <t xml:space="preserve">Registration Name: </t>
  </si>
  <si>
    <t>Sub City</t>
  </si>
  <si>
    <t>Contact Information</t>
  </si>
  <si>
    <t>Email Address, Phone Number</t>
  </si>
  <si>
    <t>Accessible Rooms for persons with Disabilities- number</t>
  </si>
  <si>
    <t>Presidential Suites - number</t>
  </si>
  <si>
    <t>Suites  - number</t>
  </si>
  <si>
    <t>Junior Suites - number</t>
  </si>
  <si>
    <t>King size bed Rooms - number</t>
  </si>
  <si>
    <t>Twin bed Rooms - number</t>
  </si>
  <si>
    <t>(flag Traditional Restaurant here instead of a separate field)</t>
  </si>
  <si>
    <t>HACCP or GSTC-recognized Certification (Yes/No/In progress)</t>
  </si>
  <si>
    <t>International Languages at Front Desk (list)</t>
  </si>
  <si>
    <t xml:space="preserve">Total Staff </t>
  </si>
  <si>
    <t xml:space="preserve">Star Category:  Rated, Not rated </t>
  </si>
  <si>
    <t>Total Beds</t>
  </si>
  <si>
    <t>(5, 4,3,2,1, Tourist Recommended, Motel, Guest House, Pension )</t>
  </si>
  <si>
    <t>Property Nam:</t>
  </si>
  <si>
    <t>Distance from Bole International Airport</t>
  </si>
  <si>
    <t>INSERT INTO [setting].[SystemConstant]</t>
  </si>
  <si>
    <t>([type], [index], [description], [category], [value], [parentId], [isDefault], [isActive], [navType], [remark])</t>
  </si>
  <si>
    <t>VALUES</t>
  </si>
  <si>
    <t>('Property Profile', 1, 'Property Name', 'AAC', NULL, NULL, 0, 1, NULL, NULL),</t>
  </si>
  <si>
    <t>('Property Profile', 2, 'Registration Name', 'AAC', NULL, NULL, 0, 1, NULL, NULL),</t>
  </si>
  <si>
    <t>('Property Profile', 3, 'Address', 'AAC', NULL, NULL, 0, 1, NULL, NULL),</t>
  </si>
  <si>
    <t>('Property Profile', 4, 'Sub City', 'AAC', NULL, NULL, 0, 1, NULL, NULL),</t>
  </si>
  <si>
    <t>('Property Profile', 5, 'Distance from Bole International Airport', 'AAC', NULL, NULL, 0, 1, NULL, NULL),</t>
  </si>
  <si>
    <t>('Property Profile', 6, 'Star Category', 'AAC', NULL, NULL, 0, 1, NULL, NULL),</t>
  </si>
  <si>
    <t>('Property Profile', 7, 'Total Rooms', 'AAC', NULL, NULL, 0, 1, NULL, NULL),</t>
  </si>
  <si>
    <t>('Property Profile', 8, 'Total Beds', 'AAC', NULL, NULL, 0, 1, NULL, NULL),</t>
  </si>
  <si>
    <t>('Property Profile', 9, 'Contact Information', 'AAC', NULL, NULL, 0, 1, NULL, NULL),</t>
  </si>
  <si>
    <t>('Property Profile', 10, 'Reservations Contact', 'AAC', NULL, NULL, 0, 1, NULL, NULL),</t>
  </si>
  <si>
    <t>('Property Profile', 11, 'Sustainability Focal Point', 'AAC', NULL, NULL, 0, 1, NULL, NULL),</t>
  </si>
  <si>
    <t>('Room Inventory', 1, 'King Size Bed Rooms', 'AAC', NULL, NULL, 0, 1, NULL, NULL),</t>
  </si>
  <si>
    <t>('Room Inventory', 2, 'Twin Bed Rooms', 'AAC', NULL, NULL, 0, 1, NULL, NULL),</t>
  </si>
  <si>
    <t>('Room Inventory', 3, 'Junior Suites', 'AAC', NULL, NULL, 0, 1, NULL, NULL),</t>
  </si>
  <si>
    <t>('Room Inventory', 4, 'Suites', 'AAC', NULL, NULL, 0, 1, NULL, NULL),</t>
  </si>
  <si>
    <t>('Room Inventory', 5, 'Presidential Suites', 'AAC', NULL, NULL, 0, 1, NULL, NULL),</t>
  </si>
  <si>
    <t>('Room Inventory', 6, 'Accessible Rooms for Persons with Disabilities', 'AAC', NULL, NULL, 0, 1, NULL, NULL),</t>
  </si>
  <si>
    <t>('Food _ Beverage _ Retail', 1, 'All-day Dining', 'AAC', NULL, NULL, 0, 1, NULL, NULL),</t>
  </si>
  <si>
    <t>('Food _ Beverage _ Retail', 2, 'All-day Dining Seats', 'AAC', NULL, NULL, 0, 1, NULL, NULL),</t>
  </si>
  <si>
    <t>('Food _ Beverage _ Retail', 3, 'Specialty Restaurants', 'AAC', NULL, NULL, 0, 1, NULL, NULL),</t>
  </si>
  <si>
    <t>('Food _ Beverage _ Retail', 4, 'Coffee Shop', 'AAC', NULL, NULL, 0, 1, NULL, NULL),</t>
  </si>
  <si>
    <t>('Food _ Beverage _ Retail', 5, 'Bars', 'AAC', NULL, NULL, 0, 1, NULL, NULL),</t>
  </si>
  <si>
    <t>('Food _ Beverage _ Retail', 6, 'Night Club', 'AAC', NULL, NULL, 0, 1, NULL, NULL),</t>
  </si>
  <si>
    <t>('Food _ Beverage _ Retail', 7, 'Souvenir Shops', 'AAC', NULL, NULL, 0, 1, NULL, NULL),</t>
  </si>
  <si>
    <t>('Food _ Beverage _ Retail', 8, 'Delegation Catering Available', 'AAC', NULL, NULL, 0, 1, NULL, NULL),</t>
  </si>
  <si>
    <t>('Food _ Beverage _ Retail', 9, 'Delegation Catering Max Pax', 'AAC', NULL, NULL, 0, 1, NULL, NULL),</t>
  </si>
  <si>
    <t>('Food _ Beverage _ Retail', 10, 'Refill Water Stations', 'AAC', NULL, NULL, 0, 1, NULL, NULL),</t>
  </si>
  <si>
    <t>('Food _ Beverage _ Retail', 11, 'Veg Vegan Menu Options', 'AAC', NULL, NULL, 0, 1, NULL, NULL),</t>
  </si>
  <si>
    <t>('Food _ Beverage _ Retail', 12, 'No Single-use Plastics', 'AAC', NULL, NULL, 0, 1, NULL, NULL),</t>
  </si>
  <si>
    <t>('Meetings _ Events', 1, 'Meeting Rooms', 'AAC', NULL, NULL, 0, 1, NULL, NULL),</t>
  </si>
  <si>
    <t>('Meetings _ Events', 2, 'Largest Room Capacity Theatre', 'AAC', NULL, NULL, 0, 1, NULL, NULL),</t>
  </si>
  <si>
    <t>('Meetings _ Events', 3, 'Largest Room Capacity Classroom', 'AAC', NULL, NULL, 0, 1, NULL, NULL),</t>
  </si>
  <si>
    <t>('Meetings _ Events', 4, 'Largest Room Capacity Banquet', 'AAC', NULL, NULL, 0, 1, NULL, NULL),</t>
  </si>
  <si>
    <t>('Meetings _ Events', 5, 'Total Meeting Space', 'AAC', NULL, NULL, 0, 1, NULL, NULL),</t>
  </si>
  <si>
    <t>('Public Facilities', 1, 'Internet Bandwidth Down', 'AAC', NULL, NULL, 0, 1, NULL, NULL),</t>
  </si>
  <si>
    <t>('Public Facilities', 2, 'Internet Bandwidth Up', 'AAC', NULL, NULL, 0, 1, NULL, NULL),</t>
  </si>
  <si>
    <t>('Public Facilities', 3, 'Lobby Area', 'AAC', NULL, NULL, 0, 1, NULL, NULL),</t>
  </si>
  <si>
    <t>('Public Facilities', 4, 'Green Area Garden', 'AAC', NULL, NULL, 0, 1, NULL, NULL),</t>
  </si>
  <si>
    <t>('Public Facilities', 5, 'Pool Available', 'AAC', NULL, NULL, 0, 1, NULL, NULL),</t>
  </si>
  <si>
    <t>('Public Facilities', 6, 'Pool Type', 'AAC', NULL, NULL, 0, 1, NULL, NULL),</t>
  </si>
  <si>
    <t>('Public Facilities', 7, 'Spa Available', 'AAC', NULL, NULL, 0, 1, NULL, NULL),</t>
  </si>
  <si>
    <t>('Public Facilities', 8, 'Spa Men Women Both', 'AAC', NULL, NULL, 0, 1, NULL, NULL),</t>
  </si>
  <si>
    <t>('Public Facilities', 9, 'Massage Service', 'AAC', NULL, NULL, 0, 1, NULL, NULL),</t>
  </si>
  <si>
    <t>('Accessibility', 1, 'Wheelchair Ramps', 'AAC', NULL, NULL, 0, 1, NULL, NULL),</t>
  </si>
  <si>
    <t>('Accessibility', 2, 'Elevators', 'AAC', NULL, NULL, 0, 1, NULL, NULL),</t>
  </si>
  <si>
    <t>('Accessibility', 3, 'Elevators Wheelchair Sized', 'AAC', NULL, NULL, 0, 1, NULL, NULL),</t>
  </si>
  <si>
    <t>('Accessibility', 4, 'Public Accessible Bathroom', 'AAC', NULL, NULL, 0, 1, NULL, NULL),</t>
  </si>
  <si>
    <t>('Security _ Safety', 1, 'CCTV in Public Areas', 'AAC', NULL, NULL, 0, 1, NULL, NULL),</t>
  </si>
  <si>
    <t>('Security _ Safety', 2, 'Fire Extinguishers Last Inspection', 'AAC', NULL, NULL, 0, 1, NULL, NULL),</t>
  </si>
  <si>
    <t>('Security _ Safety', 3, 'Hose Reels', 'AAC', NULL, NULL, 0, 1, NULL, NULL),</t>
  </si>
  <si>
    <t>('Security _ Safety', 4, 'Smoke Detectors in Rooms', 'AAC', NULL, NULL, 0, 1, NULL, NULL),</t>
  </si>
  <si>
    <t>('Security _ Safety', 5, 'Smoke Detectors in Public Areas', 'AAC', NULL, NULL, 0, 1, NULL, NULL),</t>
  </si>
  <si>
    <t>('Security _ Safety', 6, 'Sprinkler Coverage', 'AAC', NULL, NULL, 0, 1, NULL, NULL),</t>
  </si>
  <si>
    <t>('Security _ Safety', 7, 'Fire Alarm Control Panel', 'AAC', NULL, NULL, 0, 1, NULL, NULL),</t>
  </si>
  <si>
    <t>('Security _ Safety', 8, 'Emergency Exits', 'AAC', NULL, NULL, 0, 1, NULL, NULL),</t>
  </si>
  <si>
    <t>('Transport _ Parking', 1, 'Parking Spaces', 'AAC', NULL, NULL, 0, 1, NULL, NULL),</t>
  </si>
  <si>
    <t>('Transport _ Parking', 2, 'Bus Parking', 'AAC', NULL, NULL, 0, 1, NULL, NULL),</t>
  </si>
  <si>
    <t>('Transport _ Parking', 3, 'Shuttle to COP Venue', 'AAC', NULL, NULL, 0, 1, NULL, NULL),</t>
  </si>
  <si>
    <t>('Transport _ Parking', 4, 'Shuttle to Airport', 'AAC', NULL, NULL, 0, 1, NULL, NULL),</t>
  </si>
  <si>
    <t>('Transport _ Parking', 5, 'Public Transport within 500m', 'AAC', NULL, NULL, 0, 1, NULL, NULL),</t>
  </si>
  <si>
    <t>('ICT _ Guest Services', 1, 'Wi-Fi Property-wide', 'AAC', NULL, NULL, 0, 1, NULL, NULL),</t>
  </si>
  <si>
    <t>('ICT _ Guest Services', 2, 'Wi-Fi Avg Speed', 'AAC', NULL, NULL, 0, 1, NULL, NULL),</t>
  </si>
  <si>
    <t>('ICT _ Guest Services', 3, 'In-house Laundry', 'AAC', NULL, NULL, 0, 1, NULL, NULL),</t>
  </si>
  <si>
    <t>('ICT _ Guest Services', 4, '24-hour Reception', 'AAC', NULL, NULL, 0, 1, NULL, NULL),</t>
  </si>
  <si>
    <t>('Utilities _ Resilience', 1, 'Standby Generator Capacity', 'AAC', NULL, NULL, 0, 1, NULL, NULL),</t>
  </si>
  <si>
    <t>('Utilities _ Resilience', 2, 'Standby Generator Coverage', 'AAC', NULL, NULL, 0, 1, NULL, NULL),</t>
  </si>
  <si>
    <t>('Utilities _ Resilience', 3, 'Water Treatment', 'AAC', NULL, NULL, 0, 1, NULL, NULL),</t>
  </si>
  <si>
    <t>('Utilities _ Resilience', 4, 'Waste Segregation', 'AAC', NULL, NULL, 0, 1, NULL, NULL),</t>
  </si>
  <si>
    <t>('Utilities _ Resilience', 5, 'Recycling', 'AAC', NULL, NULL, 0, 1, NULL, NULL),</t>
  </si>
  <si>
    <t>('Sustainability _ Certifications', 1, 'HACCP or GSTC recognized Certification', 'AAC', NULL, NULL, 0, 1, NULL, NULL),</t>
  </si>
  <si>
    <t>('Sustainability _ Certifications', 2, 'Other Eco-labels', 'AAC', NULL, NULL, 0, 1, NULL, NULL),</t>
  </si>
  <si>
    <t>('Sustainability _ Certifications', 3, 'Food Waste Program', 'AAC', NULL, NULL, 0, 1, NULL, NULL),</t>
  </si>
  <si>
    <t>('Sustainability _ Certifications', 4, 'Refill Water Stations', 'AAC', NULL, NULL, 0, 1, NULL, NULL),</t>
  </si>
  <si>
    <t>('Staffing _ Languages', 1, 'Total Staff', 'AAC', NULL, NULL, 0, 1, NULL, NULL),</t>
  </si>
  <si>
    <t>('Staffing _ Languages', 2, 'International Languages at Front Desk', 'AAC', NULL, NULL, 0, 1, NULL, NULL);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</si>
</sst>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workbookViewId="0">
      <pane ySplit="1" topLeftCell="A11" activePane="bottomLeft" state="frozen"/>
      <selection pane="bottomLeft" activeCell="A19" sqref="A19"/>
    </sheetView>
  </sheetViews>
  <sheetFormatPr defaultRowHeight="15" x14ac:dyDescent="0.25"/>
  <cols>
    <col min="1" max="1" width="28" customWidth="1"/>
    <col min="2" max="2" width="48" customWidth="1"/>
    <col min="3" max="3" width="62.140625" customWidth="1"/>
    <col min="5" max="5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102</v>
      </c>
    </row>
    <row r="3" spans="1:3" x14ac:dyDescent="0.25">
      <c r="B3" t="s">
        <v>85</v>
      </c>
    </row>
    <row r="4" spans="1:3" x14ac:dyDescent="0.25">
      <c r="B4" t="s">
        <v>4</v>
      </c>
    </row>
    <row r="5" spans="1:3" x14ac:dyDescent="0.25">
      <c r="B5" t="s">
        <v>86</v>
      </c>
    </row>
    <row r="6" spans="1:3" x14ac:dyDescent="0.25">
      <c r="B6" t="s">
        <v>103</v>
      </c>
    </row>
    <row r="7" spans="1:3" x14ac:dyDescent="0.25">
      <c r="B7" t="s">
        <v>99</v>
      </c>
      <c r="C7" t="s">
        <v>101</v>
      </c>
    </row>
    <row r="8" spans="1:3" x14ac:dyDescent="0.25">
      <c r="B8" t="s">
        <v>5</v>
      </c>
    </row>
    <row r="9" spans="1:3" x14ac:dyDescent="0.25">
      <c r="B9" t="s">
        <v>100</v>
      </c>
    </row>
    <row r="10" spans="1:3" x14ac:dyDescent="0.25">
      <c r="B10" t="s">
        <v>87</v>
      </c>
      <c r="C10" t="s">
        <v>88</v>
      </c>
    </row>
    <row r="11" spans="1:3" x14ac:dyDescent="0.25">
      <c r="B11" t="s">
        <v>6</v>
      </c>
    </row>
    <row r="12" spans="1:3" x14ac:dyDescent="0.25">
      <c r="B12" t="s">
        <v>7</v>
      </c>
    </row>
    <row r="13" spans="1:3" x14ac:dyDescent="0.25">
      <c r="A13" t="s">
        <v>8</v>
      </c>
      <c r="B13" t="s">
        <v>93</v>
      </c>
    </row>
    <row r="14" spans="1:3" x14ac:dyDescent="0.25">
      <c r="B14" t="s">
        <v>94</v>
      </c>
    </row>
    <row r="15" spans="1:3" x14ac:dyDescent="0.25">
      <c r="B15" t="s">
        <v>92</v>
      </c>
    </row>
    <row r="16" spans="1:3" x14ac:dyDescent="0.25">
      <c r="B16" t="s">
        <v>91</v>
      </c>
    </row>
    <row r="17" spans="1:3" x14ac:dyDescent="0.25">
      <c r="B17" t="s">
        <v>90</v>
      </c>
    </row>
    <row r="18" spans="1:3" x14ac:dyDescent="0.25">
      <c r="B18" t="s">
        <v>89</v>
      </c>
    </row>
    <row r="19" spans="1:3" x14ac:dyDescent="0.25">
      <c r="A19" t="s">
        <v>9</v>
      </c>
      <c r="B19" t="s">
        <v>10</v>
      </c>
    </row>
    <row r="20" spans="1:3" x14ac:dyDescent="0.25">
      <c r="B20" t="s">
        <v>11</v>
      </c>
    </row>
    <row r="21" spans="1:3" x14ac:dyDescent="0.25">
      <c r="B21" t="s">
        <v>12</v>
      </c>
      <c r="C21" t="s">
        <v>95</v>
      </c>
    </row>
    <row r="22" spans="1:3" x14ac:dyDescent="0.25">
      <c r="B22" t="s">
        <v>13</v>
      </c>
    </row>
    <row r="23" spans="1:3" x14ac:dyDescent="0.25">
      <c r="B23" t="s">
        <v>14</v>
      </c>
    </row>
    <row r="24" spans="1:3" x14ac:dyDescent="0.25">
      <c r="B24" t="s">
        <v>15</v>
      </c>
    </row>
    <row r="25" spans="1:3" x14ac:dyDescent="0.25">
      <c r="B25" t="s">
        <v>16</v>
      </c>
    </row>
    <row r="26" spans="1:3" x14ac:dyDescent="0.25">
      <c r="B26" t="s">
        <v>17</v>
      </c>
    </row>
    <row r="27" spans="1:3" x14ac:dyDescent="0.25">
      <c r="B27" t="s">
        <v>18</v>
      </c>
    </row>
    <row r="28" spans="1:3" x14ac:dyDescent="0.25">
      <c r="B28" t="s">
        <v>19</v>
      </c>
    </row>
    <row r="29" spans="1:3" x14ac:dyDescent="0.25">
      <c r="B29" t="s">
        <v>20</v>
      </c>
    </row>
    <row r="30" spans="1:3" x14ac:dyDescent="0.25">
      <c r="B30" t="s">
        <v>21</v>
      </c>
    </row>
    <row r="31" spans="1:3" x14ac:dyDescent="0.25">
      <c r="A31" t="s">
        <v>22</v>
      </c>
      <c r="B31" t="s">
        <v>23</v>
      </c>
    </row>
    <row r="32" spans="1:3" x14ac:dyDescent="0.25">
      <c r="B32" t="s">
        <v>24</v>
      </c>
    </row>
    <row r="33" spans="1:2" x14ac:dyDescent="0.25">
      <c r="B33" t="s">
        <v>25</v>
      </c>
    </row>
    <row r="34" spans="1:2" x14ac:dyDescent="0.25">
      <c r="B34" t="s">
        <v>26</v>
      </c>
    </row>
    <row r="35" spans="1:2" x14ac:dyDescent="0.25">
      <c r="B35" t="s">
        <v>27</v>
      </c>
    </row>
    <row r="36" spans="1:2" x14ac:dyDescent="0.25">
      <c r="A36" t="s">
        <v>30</v>
      </c>
      <c r="B36" t="s">
        <v>28</v>
      </c>
    </row>
    <row r="37" spans="1:2" x14ac:dyDescent="0.25">
      <c r="B37" t="s">
        <v>29</v>
      </c>
    </row>
    <row r="38" spans="1:2" x14ac:dyDescent="0.25">
      <c r="B38" t="s">
        <v>31</v>
      </c>
    </row>
    <row r="39" spans="1:2" x14ac:dyDescent="0.25">
      <c r="B39" t="s">
        <v>32</v>
      </c>
    </row>
    <row r="40" spans="1:2" x14ac:dyDescent="0.25">
      <c r="B40" t="s">
        <v>33</v>
      </c>
    </row>
    <row r="41" spans="1:2" x14ac:dyDescent="0.25">
      <c r="B41" t="s">
        <v>34</v>
      </c>
    </row>
    <row r="42" spans="1:2" x14ac:dyDescent="0.25">
      <c r="B42" t="s">
        <v>35</v>
      </c>
    </row>
    <row r="43" spans="1:2" x14ac:dyDescent="0.25">
      <c r="B43" t="s">
        <v>36</v>
      </c>
    </row>
    <row r="44" spans="1:2" x14ac:dyDescent="0.25">
      <c r="B44" t="s">
        <v>37</v>
      </c>
    </row>
    <row r="45" spans="1:2" x14ac:dyDescent="0.25">
      <c r="B45" t="s">
        <v>38</v>
      </c>
    </row>
    <row r="46" spans="1:2" x14ac:dyDescent="0.25">
      <c r="B46" t="s">
        <v>39</v>
      </c>
    </row>
    <row r="47" spans="1:2" x14ac:dyDescent="0.25">
      <c r="B47" t="s">
        <v>40</v>
      </c>
    </row>
    <row r="48" spans="1:2" x14ac:dyDescent="0.25">
      <c r="A48" t="s">
        <v>41</v>
      </c>
      <c r="B48" t="s">
        <v>42</v>
      </c>
    </row>
    <row r="49" spans="1:2" x14ac:dyDescent="0.25">
      <c r="B49" t="s">
        <v>43</v>
      </c>
    </row>
    <row r="50" spans="1:2" x14ac:dyDescent="0.25">
      <c r="B50" t="s">
        <v>44</v>
      </c>
    </row>
    <row r="51" spans="1:2" x14ac:dyDescent="0.25">
      <c r="B51" t="s">
        <v>45</v>
      </c>
    </row>
    <row r="52" spans="1:2" x14ac:dyDescent="0.25">
      <c r="A52" t="s">
        <v>46</v>
      </c>
      <c r="B52" t="s">
        <v>47</v>
      </c>
    </row>
    <row r="53" spans="1:2" x14ac:dyDescent="0.25">
      <c r="B53" t="s">
        <v>48</v>
      </c>
    </row>
    <row r="54" spans="1:2" x14ac:dyDescent="0.25">
      <c r="B54" t="s">
        <v>49</v>
      </c>
    </row>
    <row r="55" spans="1:2" x14ac:dyDescent="0.25">
      <c r="B55" t="s">
        <v>50</v>
      </c>
    </row>
    <row r="56" spans="1:2" x14ac:dyDescent="0.25">
      <c r="B56" t="s">
        <v>51</v>
      </c>
    </row>
    <row r="57" spans="1:2" x14ac:dyDescent="0.25">
      <c r="B57" t="s">
        <v>52</v>
      </c>
    </row>
    <row r="58" spans="1:2" x14ac:dyDescent="0.25">
      <c r="B58" t="s">
        <v>53</v>
      </c>
    </row>
    <row r="59" spans="1:2" x14ac:dyDescent="0.25">
      <c r="B59" t="s">
        <v>54</v>
      </c>
    </row>
    <row r="60" spans="1:2" x14ac:dyDescent="0.25">
      <c r="B60" t="s">
        <v>55</v>
      </c>
    </row>
    <row r="61" spans="1:2" x14ac:dyDescent="0.25">
      <c r="B61" t="s">
        <v>56</v>
      </c>
    </row>
    <row r="62" spans="1:2" x14ac:dyDescent="0.25">
      <c r="B62" t="s">
        <v>57</v>
      </c>
    </row>
    <row r="63" spans="1:2" x14ac:dyDescent="0.25">
      <c r="A63" t="s">
        <v>60</v>
      </c>
      <c r="B63" t="s">
        <v>61</v>
      </c>
    </row>
    <row r="64" spans="1:2" x14ac:dyDescent="0.25">
      <c r="B64" t="s">
        <v>62</v>
      </c>
    </row>
    <row r="65" spans="1:2" x14ac:dyDescent="0.25">
      <c r="B65" t="s">
        <v>63</v>
      </c>
    </row>
    <row r="66" spans="1:2" x14ac:dyDescent="0.25">
      <c r="B66" t="s">
        <v>64</v>
      </c>
    </row>
    <row r="67" spans="1:2" x14ac:dyDescent="0.25">
      <c r="B67" t="s">
        <v>65</v>
      </c>
    </row>
    <row r="68" spans="1:2" x14ac:dyDescent="0.25">
      <c r="B68" t="s">
        <v>66</v>
      </c>
    </row>
    <row r="69" spans="1:2" x14ac:dyDescent="0.25">
      <c r="B69" t="s">
        <v>67</v>
      </c>
    </row>
    <row r="70" spans="1:2" x14ac:dyDescent="0.25">
      <c r="A70" t="s">
        <v>68</v>
      </c>
      <c r="B70" t="s">
        <v>69</v>
      </c>
    </row>
    <row r="71" spans="1:2" x14ac:dyDescent="0.25">
      <c r="B71" t="s">
        <v>70</v>
      </c>
    </row>
    <row r="72" spans="1:2" x14ac:dyDescent="0.25">
      <c r="B72" t="s">
        <v>71</v>
      </c>
    </row>
    <row r="73" spans="1:2" x14ac:dyDescent="0.25">
      <c r="B73" t="s">
        <v>72</v>
      </c>
    </row>
    <row r="74" spans="1:2" x14ac:dyDescent="0.25">
      <c r="B74" t="s">
        <v>73</v>
      </c>
    </row>
    <row r="75" spans="1:2" x14ac:dyDescent="0.25">
      <c r="B75" t="s">
        <v>58</v>
      </c>
    </row>
    <row r="76" spans="1:2" x14ac:dyDescent="0.25">
      <c r="B76" t="s">
        <v>59</v>
      </c>
    </row>
    <row r="77" spans="1:2" x14ac:dyDescent="0.25">
      <c r="A77" t="s">
        <v>74</v>
      </c>
      <c r="B77" t="s">
        <v>75</v>
      </c>
    </row>
    <row r="78" spans="1:2" x14ac:dyDescent="0.25">
      <c r="B78" t="s">
        <v>76</v>
      </c>
    </row>
    <row r="79" spans="1:2" x14ac:dyDescent="0.25">
      <c r="B79" t="s">
        <v>77</v>
      </c>
    </row>
    <row r="80" spans="1:2" x14ac:dyDescent="0.25">
      <c r="B80" t="s">
        <v>78</v>
      </c>
    </row>
    <row r="81" spans="1:2" x14ac:dyDescent="0.25">
      <c r="B81" t="s">
        <v>79</v>
      </c>
    </row>
    <row r="82" spans="1:2" x14ac:dyDescent="0.25">
      <c r="B82" t="s">
        <v>80</v>
      </c>
    </row>
    <row r="83" spans="1:2" x14ac:dyDescent="0.25">
      <c r="A83" t="s">
        <v>81</v>
      </c>
      <c r="B83" t="s">
        <v>96</v>
      </c>
    </row>
    <row r="84" spans="1:2" x14ac:dyDescent="0.25">
      <c r="B84" t="s">
        <v>82</v>
      </c>
    </row>
    <row r="85" spans="1:2" x14ac:dyDescent="0.25">
      <c r="B85" t="s">
        <v>83</v>
      </c>
    </row>
    <row r="86" spans="1:2" x14ac:dyDescent="0.25">
      <c r="B86" t="s">
        <v>19</v>
      </c>
    </row>
    <row r="87" spans="1:2" x14ac:dyDescent="0.25">
      <c r="A87" t="s">
        <v>84</v>
      </c>
      <c r="B87" t="s">
        <v>98</v>
      </c>
    </row>
    <row r="88" spans="1:2" x14ac:dyDescent="0.25">
      <c r="B88" t="s">
        <v>97</v>
      </c>
    </row>
  </sheetData>
  <dataValidations count="5">
    <dataValidation type="list" allowBlank="1" sqref="C19 C22 C24 C26 C28:C30 C40 C42 C44:C48 C50:C52 C54:C56 C58 C60:C62 C64:C67 C70 C72:C76 C80:C82 C85:C86">
      <formula1>"Yes,No"</formula1>
    </dataValidation>
    <dataValidation type="list" allowBlank="1" sqref="C57">
      <formula1>"Rooms,Public,None"</formula1>
    </dataValidation>
    <dataValidation type="list" allowBlank="1" sqref="C41">
      <formula1>"Indoor,Outdoor"</formula1>
    </dataValidation>
    <dataValidation type="list" allowBlank="1" sqref="C79">
      <formula1>"None,Basic,Advanced"</formula1>
    </dataValidation>
    <dataValidation type="list" allowBlank="1" sqref="C83">
      <formula1>"Yes,No,In progress"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2"/>
  <sheetViews>
    <sheetView tabSelected="1" topLeftCell="A25" workbookViewId="0">
      <selection activeCell="M2" sqref="M2"/>
    </sheetView>
  </sheetViews>
  <sheetFormatPr defaultRowHeight="15" x14ac:dyDescent="0.25"/>
  <sheetData>
    <row r="1" spans="1:1" x14ac:dyDescent="0.25">
      <c r="A1" t="s">
        <v>104</v>
      </c>
    </row>
    <row r="2" spans="1:1" x14ac:dyDescent="0.25">
      <c r="A2" t="s">
        <v>105</v>
      </c>
    </row>
    <row r="4" spans="1:1" x14ac:dyDescent="0.25">
      <c r="A4" t="s">
        <v>106</v>
      </c>
    </row>
    <row r="5" spans="1:1" x14ac:dyDescent="0.25">
      <c r="A5" t="e">
        <f>-- Property Profile</f>
        <v>#NAME?</v>
      </c>
    </row>
    <row r="6" spans="1:1" x14ac:dyDescent="0.25">
      <c r="A6" t="s">
        <v>107</v>
      </c>
    </row>
    <row r="7" spans="1:1" x14ac:dyDescent="0.25">
      <c r="A7" t="s">
        <v>108</v>
      </c>
    </row>
    <row r="8" spans="1:1" x14ac:dyDescent="0.25">
      <c r="A8" t="s">
        <v>109</v>
      </c>
    </row>
    <row r="9" spans="1:1" x14ac:dyDescent="0.25">
      <c r="A9" t="s">
        <v>110</v>
      </c>
    </row>
    <row r="10" spans="1:1" x14ac:dyDescent="0.25">
      <c r="A10" t="s">
        <v>111</v>
      </c>
    </row>
    <row r="11" spans="1:1" x14ac:dyDescent="0.25">
      <c r="A11" t="s">
        <v>112</v>
      </c>
    </row>
    <row r="12" spans="1:1" x14ac:dyDescent="0.25">
      <c r="A12" t="s">
        <v>113</v>
      </c>
    </row>
    <row r="13" spans="1:1" x14ac:dyDescent="0.25">
      <c r="A13" t="s">
        <v>114</v>
      </c>
    </row>
    <row r="14" spans="1:1" x14ac:dyDescent="0.25">
      <c r="A14" t="s">
        <v>115</v>
      </c>
    </row>
    <row r="15" spans="1:1" x14ac:dyDescent="0.25">
      <c r="A15" t="s">
        <v>116</v>
      </c>
    </row>
    <row r="16" spans="1:1" x14ac:dyDescent="0.25">
      <c r="A16" t="s">
        <v>117</v>
      </c>
    </row>
    <row r="18" spans="1:1" x14ac:dyDescent="0.25">
      <c r="A18" t="e">
        <f>-- Room Inventory</f>
        <v>#NAME?</v>
      </c>
    </row>
    <row r="19" spans="1:1" x14ac:dyDescent="0.25">
      <c r="A19" t="s">
        <v>118</v>
      </c>
    </row>
    <row r="20" spans="1:1" x14ac:dyDescent="0.25">
      <c r="A20" t="s">
        <v>119</v>
      </c>
    </row>
    <row r="21" spans="1:1" x14ac:dyDescent="0.25">
      <c r="A21" t="s">
        <v>120</v>
      </c>
    </row>
    <row r="22" spans="1:1" x14ac:dyDescent="0.25">
      <c r="A22" t="s">
        <v>121</v>
      </c>
    </row>
    <row r="23" spans="1:1" x14ac:dyDescent="0.25">
      <c r="A23" t="s">
        <v>122</v>
      </c>
    </row>
    <row r="24" spans="1:1" x14ac:dyDescent="0.25">
      <c r="A24" t="s">
        <v>123</v>
      </c>
    </row>
    <row r="26" spans="1:1" x14ac:dyDescent="0.25">
      <c r="A26" t="e">
        <f>-- Food _ Beverage _ Retail</f>
        <v>#NAME?</v>
      </c>
    </row>
    <row r="27" spans="1:1" x14ac:dyDescent="0.25">
      <c r="A27" t="s">
        <v>124</v>
      </c>
    </row>
    <row r="28" spans="1:1" x14ac:dyDescent="0.25">
      <c r="A28" t="s">
        <v>125</v>
      </c>
    </row>
    <row r="29" spans="1:1" x14ac:dyDescent="0.25">
      <c r="A29" t="s">
        <v>126</v>
      </c>
    </row>
    <row r="30" spans="1:1" x14ac:dyDescent="0.25">
      <c r="A30" t="s">
        <v>127</v>
      </c>
    </row>
    <row r="31" spans="1:1" x14ac:dyDescent="0.25">
      <c r="A31" t="s">
        <v>128</v>
      </c>
    </row>
    <row r="32" spans="1:1" x14ac:dyDescent="0.25">
      <c r="A32" t="s">
        <v>129</v>
      </c>
    </row>
    <row r="33" spans="1:1" x14ac:dyDescent="0.25">
      <c r="A33" t="s">
        <v>130</v>
      </c>
    </row>
    <row r="34" spans="1:1" x14ac:dyDescent="0.25">
      <c r="A34" t="s">
        <v>131</v>
      </c>
    </row>
    <row r="35" spans="1:1" x14ac:dyDescent="0.25">
      <c r="A35" t="s">
        <v>132</v>
      </c>
    </row>
    <row r="36" spans="1:1" x14ac:dyDescent="0.25">
      <c r="A36" t="s">
        <v>133</v>
      </c>
    </row>
    <row r="37" spans="1:1" x14ac:dyDescent="0.25">
      <c r="A37" t="s">
        <v>134</v>
      </c>
    </row>
    <row r="38" spans="1:1" x14ac:dyDescent="0.25">
      <c r="A38" t="s">
        <v>135</v>
      </c>
    </row>
    <row r="40" spans="1:1" x14ac:dyDescent="0.25">
      <c r="A40" t="e">
        <f>-- Meetings _ Events</f>
        <v>#NAME?</v>
      </c>
    </row>
    <row r="41" spans="1:1" x14ac:dyDescent="0.25">
      <c r="A41" t="s">
        <v>136</v>
      </c>
    </row>
    <row r="42" spans="1:1" x14ac:dyDescent="0.25">
      <c r="A42" t="s">
        <v>137</v>
      </c>
    </row>
    <row r="43" spans="1:1" x14ac:dyDescent="0.25">
      <c r="A43" t="s">
        <v>138</v>
      </c>
    </row>
    <row r="44" spans="1:1" x14ac:dyDescent="0.25">
      <c r="A44" t="s">
        <v>139</v>
      </c>
    </row>
    <row r="45" spans="1:1" x14ac:dyDescent="0.25">
      <c r="A45" t="s">
        <v>140</v>
      </c>
    </row>
    <row r="47" spans="1:1" x14ac:dyDescent="0.25">
      <c r="A47" t="e">
        <f>-- Public Facilities</f>
        <v>#NAME?</v>
      </c>
    </row>
    <row r="48" spans="1:1" x14ac:dyDescent="0.25">
      <c r="A48" t="s">
        <v>141</v>
      </c>
    </row>
    <row r="49" spans="1:1" x14ac:dyDescent="0.25">
      <c r="A49" t="s">
        <v>142</v>
      </c>
    </row>
    <row r="50" spans="1:1" x14ac:dyDescent="0.25">
      <c r="A50" t="s">
        <v>143</v>
      </c>
    </row>
    <row r="51" spans="1:1" x14ac:dyDescent="0.25">
      <c r="A51" t="s">
        <v>144</v>
      </c>
    </row>
    <row r="52" spans="1:1" x14ac:dyDescent="0.25">
      <c r="A52" t="s">
        <v>145</v>
      </c>
    </row>
    <row r="53" spans="1:1" x14ac:dyDescent="0.25">
      <c r="A53" t="s">
        <v>146</v>
      </c>
    </row>
    <row r="54" spans="1:1" x14ac:dyDescent="0.25">
      <c r="A54" t="s">
        <v>147</v>
      </c>
    </row>
    <row r="55" spans="1:1" x14ac:dyDescent="0.25">
      <c r="A55" t="s">
        <v>148</v>
      </c>
    </row>
    <row r="56" spans="1:1" x14ac:dyDescent="0.25">
      <c r="A56" t="s">
        <v>149</v>
      </c>
    </row>
    <row r="58" spans="1:1" x14ac:dyDescent="0.25">
      <c r="A58" t="e">
        <f>-- Accessibility</f>
        <v>#NAME?</v>
      </c>
    </row>
    <row r="59" spans="1:1" x14ac:dyDescent="0.25">
      <c r="A59" t="s">
        <v>150</v>
      </c>
    </row>
    <row r="60" spans="1:1" x14ac:dyDescent="0.25">
      <c r="A60" t="s">
        <v>151</v>
      </c>
    </row>
    <row r="61" spans="1:1" x14ac:dyDescent="0.25">
      <c r="A61" t="s">
        <v>152</v>
      </c>
    </row>
    <row r="62" spans="1:1" x14ac:dyDescent="0.25">
      <c r="A62" t="s">
        <v>153</v>
      </c>
    </row>
    <row r="64" spans="1:1" x14ac:dyDescent="0.25">
      <c r="A64" t="e">
        <f>-- Security _ Safety</f>
        <v>#NAME?</v>
      </c>
    </row>
    <row r="65" spans="1:1" x14ac:dyDescent="0.25">
      <c r="A65" t="s">
        <v>154</v>
      </c>
    </row>
    <row r="66" spans="1:1" x14ac:dyDescent="0.25">
      <c r="A66" t="s">
        <v>155</v>
      </c>
    </row>
    <row r="67" spans="1:1" x14ac:dyDescent="0.25">
      <c r="A67" t="s">
        <v>156</v>
      </c>
    </row>
    <row r="68" spans="1:1" x14ac:dyDescent="0.25">
      <c r="A68" t="s">
        <v>157</v>
      </c>
    </row>
    <row r="69" spans="1:1" x14ac:dyDescent="0.25">
      <c r="A69" t="s">
        <v>158</v>
      </c>
    </row>
    <row r="70" spans="1:1" x14ac:dyDescent="0.25">
      <c r="A70" t="s">
        <v>159</v>
      </c>
    </row>
    <row r="71" spans="1:1" x14ac:dyDescent="0.25">
      <c r="A71" t="s">
        <v>160</v>
      </c>
    </row>
    <row r="72" spans="1:1" x14ac:dyDescent="0.25">
      <c r="A72" t="s">
        <v>161</v>
      </c>
    </row>
    <row r="74" spans="1:1" x14ac:dyDescent="0.25">
      <c r="A74" t="e">
        <f>-- Transport _ Parking</f>
        <v>#NAME?</v>
      </c>
    </row>
    <row r="75" spans="1:1" x14ac:dyDescent="0.25">
      <c r="A75" t="s">
        <v>162</v>
      </c>
    </row>
    <row r="76" spans="1:1" x14ac:dyDescent="0.25">
      <c r="A76" t="s">
        <v>163</v>
      </c>
    </row>
    <row r="77" spans="1:1" x14ac:dyDescent="0.25">
      <c r="A77" t="s">
        <v>164</v>
      </c>
    </row>
    <row r="78" spans="1:1" x14ac:dyDescent="0.25">
      <c r="A78" t="s">
        <v>165</v>
      </c>
    </row>
    <row r="79" spans="1:1" x14ac:dyDescent="0.25">
      <c r="A79" t="s">
        <v>166</v>
      </c>
    </row>
    <row r="81" spans="1:1" x14ac:dyDescent="0.25">
      <c r="A81" t="e">
        <f>-- ICT _ Guest Services</f>
        <v>#NAME?</v>
      </c>
    </row>
    <row r="82" spans="1:1" x14ac:dyDescent="0.25">
      <c r="A82" t="s">
        <v>167</v>
      </c>
    </row>
    <row r="83" spans="1:1" x14ac:dyDescent="0.25">
      <c r="A83" t="s">
        <v>168</v>
      </c>
    </row>
    <row r="84" spans="1:1" x14ac:dyDescent="0.25">
      <c r="A84" t="s">
        <v>169</v>
      </c>
    </row>
    <row r="85" spans="1:1" x14ac:dyDescent="0.25">
      <c r="A85" t="s">
        <v>170</v>
      </c>
    </row>
    <row r="87" spans="1:1" x14ac:dyDescent="0.25">
      <c r="A87" t="e">
        <f>-- Utilities _ Resilience</f>
        <v>#NAME?</v>
      </c>
    </row>
    <row r="88" spans="1:1" x14ac:dyDescent="0.25">
      <c r="A88" t="s">
        <v>171</v>
      </c>
    </row>
    <row r="89" spans="1:1" x14ac:dyDescent="0.25">
      <c r="A89" t="s">
        <v>172</v>
      </c>
    </row>
    <row r="90" spans="1:1" x14ac:dyDescent="0.25">
      <c r="A90" t="s">
        <v>173</v>
      </c>
    </row>
    <row r="91" spans="1:1" x14ac:dyDescent="0.25">
      <c r="A91" t="s">
        <v>174</v>
      </c>
    </row>
    <row r="92" spans="1:1" x14ac:dyDescent="0.25">
      <c r="A92" t="s">
        <v>175</v>
      </c>
    </row>
    <row r="94" spans="1:1" x14ac:dyDescent="0.25">
      <c r="A94" t="e">
        <f>-- Sustainability _ Certifications</f>
        <v>#NAME?</v>
      </c>
    </row>
    <row r="95" spans="1:1" x14ac:dyDescent="0.25">
      <c r="A95" t="s">
        <v>176</v>
      </c>
    </row>
    <row r="96" spans="1:1" x14ac:dyDescent="0.25">
      <c r="A96" t="s">
        <v>177</v>
      </c>
    </row>
    <row r="97" spans="1:1" x14ac:dyDescent="0.25">
      <c r="A97" t="s">
        <v>178</v>
      </c>
    </row>
    <row r="98" spans="1:1" x14ac:dyDescent="0.25">
      <c r="A98" t="s">
        <v>179</v>
      </c>
    </row>
    <row r="100" spans="1:1" x14ac:dyDescent="0.25">
      <c r="A100" t="e">
        <f>-- Staffing _ Languages</f>
        <v>#NAME?</v>
      </c>
    </row>
    <row r="101" spans="1:1" x14ac:dyDescent="0.25">
      <c r="A101" t="s">
        <v>180</v>
      </c>
    </row>
    <row r="102" spans="1:1" x14ac:dyDescent="0.25">
      <c r="A102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Atsae</cp:lastModifiedBy>
  <dcterms:created xsi:type="dcterms:W3CDTF">2026-03-12T15:13:18Z</dcterms:created>
  <dcterms:modified xsi:type="dcterms:W3CDTF">2026-04-01T07:01:17Z</dcterms:modified>
</cp:coreProperties>
</file>